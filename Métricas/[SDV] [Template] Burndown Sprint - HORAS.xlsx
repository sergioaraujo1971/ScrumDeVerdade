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SPRINT" sheetId="1" r:id="rId5"/>
    <sheet state="visible" name="BURNDOWN" sheetId="2" r:id="rId6"/>
  </sheets>
  <definedNames/>
  <calcPr/>
</workbook>
</file>

<file path=xl/sharedStrings.xml><?xml version="1.0" encoding="utf-8"?>
<sst xmlns="http://schemas.openxmlformats.org/spreadsheetml/2006/main" count="13" uniqueCount="12">
  <si>
    <t>Sprint</t>
  </si>
  <si>
    <t>Dias do Sprint</t>
  </si>
  <si>
    <t>Guia</t>
  </si>
  <si>
    <t>Horas Faltantes</t>
  </si>
  <si>
    <t>Inicio</t>
  </si>
  <si>
    <t>Fim</t>
  </si>
  <si>
    <t>As horas que faltam para terminar tudo que seu time planejou de fazer nesse Sprint.</t>
  </si>
  <si>
    <t>Dias Uteis</t>
  </si>
  <si>
    <t>Envolve:</t>
  </si>
  <si>
    <t>Cap. Produtiva</t>
  </si>
  <si>
    <t>Horas de Desenvolvimento, Horas de Retrabalho, Refinamento, Alinhamentos.</t>
  </si>
  <si>
    <t>Cap. Diária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</si>
</sst>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8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theme="1"/>
      <name val="Arial"/>
      <scheme val="minor"/>
    </font>
    <font>
      <sz val="9.0"/>
      <color theme="1"/>
      <name val="Arial"/>
      <scheme val="minor"/>
    </font>
    <font>
      <i/>
      <sz val="9.0"/>
      <color theme="1"/>
      <name val="Arial"/>
      <scheme val="minor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0" fillId="0" fontId="4" numFmtId="0" xfId="0" applyAlignment="1" applyFont="1">
      <alignment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0" fillId="0" fontId="5" numFmtId="0" xfId="0" applyAlignment="1" applyFont="1">
      <alignment horizontal="center" readingOrder="0" vertical="center"/>
    </xf>
    <xf borderId="3" fillId="4" fontId="5" numFmtId="0" xfId="0" applyAlignment="1" applyBorder="1" applyFill="1" applyFont="1">
      <alignment horizontal="center" readingOrder="0" vertical="center"/>
    </xf>
    <xf borderId="3" fillId="0" fontId="5" numFmtId="164" xfId="0" applyAlignment="1" applyBorder="1" applyFont="1" applyNumberFormat="1">
      <alignment horizontal="center" readingOrder="0" vertical="center"/>
    </xf>
    <xf borderId="3" fillId="2" fontId="5" numFmtId="0" xfId="0" applyAlignment="1" applyBorder="1" applyFont="1">
      <alignment horizontal="center" readingOrder="0"/>
    </xf>
    <xf borderId="3" fillId="2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5" numFmtId="0" xfId="0" applyFont="1"/>
    <xf borderId="3" fillId="2" fontId="5" numFmtId="165" xfId="0" applyAlignment="1" applyBorder="1" applyFont="1" applyNumberFormat="1">
      <alignment horizontal="center"/>
    </xf>
    <xf borderId="0" fillId="5" fontId="6" numFmtId="0" xfId="0" applyAlignment="1" applyFont="1">
      <alignment readingOrder="0"/>
    </xf>
    <xf borderId="3" fillId="6" fontId="5" numFmtId="0" xfId="0" applyAlignment="1" applyBorder="1" applyFill="1" applyFont="1">
      <alignment horizontal="center" vertical="center"/>
    </xf>
    <xf borderId="0" fillId="5" fontId="7" numFmtId="0" xfId="0" applyAlignment="1" applyFont="1">
      <alignment readingOrder="0"/>
    </xf>
    <xf borderId="3" fillId="0" fontId="5" numFmtId="0" xfId="0" applyAlignment="1" applyBorder="1" applyFont="1">
      <alignment horizontal="center" readingOrder="0" vertical="center"/>
    </xf>
    <xf borderId="3" fillId="6" fontId="5" numFmtId="165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/>
    </xf>
    <xf borderId="3" fillId="0" fontId="5" numFmtId="0" xfId="0" applyBorder="1" applyFont="1"/>
    <xf borderId="3" fillId="2" fontId="5" numFmtId="0" xfId="0" applyBorder="1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(HORAS)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'Dados do SPRINT'!$F$1</c:f>
            </c:strRef>
          </c:tx>
          <c:spPr>
            <a:ln cmpd="sng" w="19050">
              <a:solidFill>
                <a:schemeClr val="accent4"/>
              </a:solidFill>
              <a:prstDash val="sysDot"/>
            </a:ln>
          </c:spPr>
          <c:marker>
            <c:symbol val="none"/>
          </c:marker>
          <c:cat>
            <c:strRef>
              <c:f>'Dados do SPRINT'!$E$2:$E$25</c:f>
            </c:strRef>
          </c:cat>
          <c:val>
            <c:numRef>
              <c:f>'Dados do SPRINT'!$F$2:$F$25</c:f>
              <c:numCache/>
            </c:numRef>
          </c:val>
          <c:smooth val="0"/>
        </c:ser>
        <c:ser>
          <c:idx val="1"/>
          <c:order val="1"/>
          <c:tx>
            <c:strRef>
              <c:f>'Dados do SPRINT'!$G$1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do SPRINT'!$E$2:$E$25</c:f>
            </c:strRef>
          </c:cat>
          <c:val>
            <c:numRef>
              <c:f>'Dados do SPRINT'!$G$2:$G$25</c:f>
              <c:numCache/>
            </c:numRef>
          </c:val>
          <c:smooth val="0"/>
        </c:ser>
        <c:axId val="1757494792"/>
        <c:axId val="804926349"/>
      </c:lineChart>
      <c:catAx>
        <c:axId val="1757494792"/>
        <c:scaling>
          <c:orientation val="minMax"/>
          <c:min val="1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926349"/>
      </c:catAx>
      <c:valAx>
        <c:axId val="80492634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4947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4.0"/>
    <col customWidth="1" min="3" max="3" width="10.25"/>
    <col customWidth="1" min="4" max="4" width="3.75"/>
    <col customWidth="1" min="5" max="6" width="11.5"/>
    <col customWidth="1" min="7" max="7" width="11.0"/>
  </cols>
  <sheetData>
    <row r="1" ht="25.5" customHeight="1">
      <c r="A1" s="1"/>
      <c r="B1" s="2" t="s">
        <v>0</v>
      </c>
      <c r="C1" s="3"/>
      <c r="D1" s="4"/>
      <c r="E1" s="5" t="s">
        <v>1</v>
      </c>
      <c r="F1" s="5" t="s">
        <v>2</v>
      </c>
      <c r="G1" s="5" t="s">
        <v>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4</v>
      </c>
      <c r="C2" s="9">
        <v>44802.0</v>
      </c>
      <c r="D2" s="6"/>
      <c r="E2" s="10">
        <v>1.0</v>
      </c>
      <c r="F2" s="11">
        <f>C5</f>
        <v>480</v>
      </c>
      <c r="G2" s="12">
        <v>480.0</v>
      </c>
      <c r="H2" s="6"/>
      <c r="I2" s="13" t="s">
        <v>3</v>
      </c>
      <c r="J2" s="14"/>
      <c r="K2" s="14"/>
      <c r="L2" s="14"/>
      <c r="M2" s="14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 t="s">
        <v>5</v>
      </c>
      <c r="C3" s="9">
        <v>44818.0</v>
      </c>
      <c r="D3" s="6"/>
      <c r="E3" s="10">
        <f t="shared" ref="E3:E27" si="1">IF(E2&gt;=($C$4+1),"",E2+1)</f>
        <v>2</v>
      </c>
      <c r="F3" s="15">
        <f t="shared" ref="F3:F15" si="2">F2-$C$6</f>
        <v>443.0769231</v>
      </c>
      <c r="G3" s="12">
        <v>450.0</v>
      </c>
      <c r="H3" s="6"/>
      <c r="I3" s="16" t="s">
        <v>6</v>
      </c>
      <c r="J3" s="14"/>
      <c r="K3" s="14"/>
      <c r="L3" s="14"/>
      <c r="M3" s="14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8" t="s">
        <v>7</v>
      </c>
      <c r="C4" s="17">
        <f>NETWORKDAYS(C2,C3)</f>
        <v>13</v>
      </c>
      <c r="D4" s="6"/>
      <c r="E4" s="10">
        <f t="shared" si="1"/>
        <v>3</v>
      </c>
      <c r="F4" s="15">
        <f t="shared" si="2"/>
        <v>406.1538462</v>
      </c>
      <c r="G4" s="12">
        <v>392.0</v>
      </c>
      <c r="H4" s="6"/>
      <c r="I4" s="18" t="s">
        <v>8</v>
      </c>
      <c r="J4" s="14"/>
      <c r="K4" s="14"/>
      <c r="L4" s="14"/>
      <c r="M4" s="14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8" t="s">
        <v>9</v>
      </c>
      <c r="C5" s="19">
        <v>480.0</v>
      </c>
      <c r="D5" s="6"/>
      <c r="E5" s="10">
        <f t="shared" si="1"/>
        <v>4</v>
      </c>
      <c r="F5" s="15">
        <f t="shared" si="2"/>
        <v>369.2307692</v>
      </c>
      <c r="G5" s="12">
        <v>395.0</v>
      </c>
      <c r="H5" s="6"/>
      <c r="I5" s="16" t="s">
        <v>10</v>
      </c>
      <c r="J5" s="14"/>
      <c r="K5" s="14"/>
      <c r="L5" s="14"/>
      <c r="M5" s="14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8" t="s">
        <v>11</v>
      </c>
      <c r="C6" s="20">
        <f>C5/C4</f>
        <v>36.92307692</v>
      </c>
      <c r="D6" s="6"/>
      <c r="E6" s="10">
        <f t="shared" si="1"/>
        <v>5</v>
      </c>
      <c r="F6" s="15">
        <f t="shared" si="2"/>
        <v>332.3076923</v>
      </c>
      <c r="G6" s="12">
        <v>378.0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10">
        <f t="shared" si="1"/>
        <v>6</v>
      </c>
      <c r="F7" s="15">
        <f t="shared" si="2"/>
        <v>295.3846154</v>
      </c>
      <c r="G7" s="12">
        <v>321.0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10">
        <f t="shared" si="1"/>
        <v>7</v>
      </c>
      <c r="F8" s="15">
        <f t="shared" si="2"/>
        <v>258.4615385</v>
      </c>
      <c r="G8" s="12">
        <v>331.0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10">
        <f t="shared" si="1"/>
        <v>8</v>
      </c>
      <c r="F9" s="15">
        <f t="shared" si="2"/>
        <v>221.5384615</v>
      </c>
      <c r="G9" s="2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10">
        <f t="shared" si="1"/>
        <v>9</v>
      </c>
      <c r="F10" s="15">
        <f t="shared" si="2"/>
        <v>184.6153846</v>
      </c>
      <c r="G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10">
        <f t="shared" si="1"/>
        <v>10</v>
      </c>
      <c r="F11" s="15">
        <f t="shared" si="2"/>
        <v>147.6923077</v>
      </c>
      <c r="G11" s="2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10">
        <f t="shared" si="1"/>
        <v>11</v>
      </c>
      <c r="F12" s="15">
        <f t="shared" si="2"/>
        <v>110.7692308</v>
      </c>
      <c r="G12" s="2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10">
        <f t="shared" si="1"/>
        <v>12</v>
      </c>
      <c r="F13" s="15">
        <f t="shared" si="2"/>
        <v>73.84615385</v>
      </c>
      <c r="G13" s="2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10">
        <f t="shared" si="1"/>
        <v>13</v>
      </c>
      <c r="F14" s="15">
        <f t="shared" si="2"/>
        <v>36.92307692</v>
      </c>
      <c r="G14" s="2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10">
        <f t="shared" si="1"/>
        <v>14</v>
      </c>
      <c r="F15" s="15">
        <f t="shared" si="2"/>
        <v>0</v>
      </c>
      <c r="G15" s="2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10" t="str">
        <f t="shared" si="1"/>
        <v/>
      </c>
      <c r="F16" s="23"/>
      <c r="G16" s="2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10" t="str">
        <f t="shared" si="1"/>
        <v/>
      </c>
      <c r="F17" s="23"/>
      <c r="G17" s="2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10" t="str">
        <f t="shared" si="1"/>
        <v/>
      </c>
      <c r="F18" s="23"/>
      <c r="G18" s="2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10" t="str">
        <f t="shared" si="1"/>
        <v/>
      </c>
      <c r="F19" s="23"/>
      <c r="G19" s="2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0" t="str">
        <f t="shared" si="1"/>
        <v/>
      </c>
      <c r="F20" s="23"/>
      <c r="G20" s="2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0" t="str">
        <f t="shared" si="1"/>
        <v/>
      </c>
      <c r="F21" s="23"/>
      <c r="G21" s="2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10" t="str">
        <f t="shared" si="1"/>
        <v/>
      </c>
      <c r="F22" s="23"/>
      <c r="G22" s="2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10" t="str">
        <f t="shared" si="1"/>
        <v/>
      </c>
      <c r="F23" s="23"/>
      <c r="G23" s="2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10" t="str">
        <f t="shared" si="1"/>
        <v/>
      </c>
      <c r="F24" s="23"/>
      <c r="G24" s="2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10" t="str">
        <f t="shared" si="1"/>
        <v/>
      </c>
      <c r="F25" s="23"/>
      <c r="G25" s="22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10" t="str">
        <f t="shared" si="1"/>
        <v/>
      </c>
      <c r="F26" s="23"/>
      <c r="G26" s="2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24" t="str">
        <f t="shared" si="1"/>
        <v/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2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2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2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2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2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2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2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2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2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2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2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25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25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25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2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2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2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2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2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2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2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2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2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2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2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2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2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2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2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2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2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2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2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2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2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2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2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2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2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2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2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2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2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2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2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2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2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2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2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2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2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2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2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25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2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2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2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2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2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2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2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25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2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25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25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25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25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25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25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2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25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25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25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25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25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25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2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25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25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25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25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25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25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2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25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25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2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25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25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25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25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25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25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2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25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25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25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25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25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25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25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25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25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25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25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25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25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25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25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25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25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25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25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25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25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25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25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25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25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25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25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25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25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25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25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25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25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25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25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25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25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25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25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25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25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25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25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25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25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25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25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25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25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25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25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25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25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25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25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25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25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25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25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25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25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25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25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25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25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25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25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25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25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25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25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25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25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25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25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25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25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25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25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25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25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25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25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25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25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25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25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25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25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25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25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25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25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25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25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25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25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25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25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25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25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25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25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25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25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25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25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25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25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25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25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25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25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25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25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25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25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25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25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25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25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25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25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25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25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25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25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25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25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25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25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25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25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25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25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25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25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25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25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25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25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25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25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25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25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25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25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25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25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25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25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25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25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25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25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25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25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25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25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25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25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25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25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25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25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25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25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25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25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25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25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25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25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25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25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25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25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25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25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25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25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25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25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25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25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25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25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25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25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25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25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25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25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25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25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25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25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25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25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25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25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25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25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25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25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25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25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25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25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25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25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25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25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25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25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25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25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25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25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25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25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25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25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25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25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25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25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25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25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25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25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25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25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25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25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25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25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25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25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25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25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25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25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25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25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25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25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25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25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25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25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25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25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25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25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25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25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25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25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25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25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25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25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25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25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25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25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25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25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25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25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25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25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25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25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25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25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25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25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25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25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25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25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25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25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25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25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25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25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25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25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25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25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25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25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25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25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25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25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25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25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25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25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25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25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25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25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25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25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25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25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25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25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25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25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25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25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25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25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25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25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25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25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25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25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25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25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25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25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25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25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25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25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25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25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25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25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25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25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25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25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25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25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25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25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25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25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25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25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25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25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25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25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25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25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25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25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25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25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25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25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25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25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25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25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25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25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25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25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25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25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25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25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2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2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2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2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2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2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2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2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2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2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2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2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2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2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2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2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2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2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2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2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2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2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2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2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2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2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2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2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2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2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2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2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2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2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2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2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2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2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2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2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2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2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2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2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2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2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2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2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2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2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2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2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2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2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2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2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2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2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2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2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2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2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2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2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2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2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2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2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2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2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2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2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2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2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2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2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2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2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2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2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2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2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2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2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2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2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2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2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2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2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2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2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2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2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2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2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2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2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2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2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2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2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2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2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2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2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2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2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2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2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2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2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2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2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2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2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2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2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2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2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2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2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2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2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2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2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2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2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2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2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2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2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2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2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2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2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2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2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2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2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2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2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2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2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2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2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2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2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2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2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2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2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2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2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2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2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2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2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2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2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2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2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2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2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2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2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2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2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2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2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2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2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2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2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2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2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2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2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2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2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2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2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2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2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2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2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2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2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2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2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2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2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2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2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2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2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2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2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2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2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2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2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2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2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2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2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2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2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2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2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2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2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2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2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2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2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2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2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2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2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2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2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2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2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2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2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2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2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2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2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2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2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2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2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2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2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2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2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2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2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2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2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2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2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2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2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2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2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2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2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2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2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2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2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2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2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2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2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2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2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2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2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2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2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2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2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2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2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2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2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2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2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2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2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2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2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2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2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2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2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2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2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2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2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2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2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2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2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2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2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2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2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2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2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2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2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2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2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2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2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2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2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2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2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2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2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2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2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2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2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2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2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2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2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2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2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2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2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2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2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2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2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2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2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2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2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2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2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2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2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2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2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2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2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2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2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2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2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2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2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2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2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2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2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2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2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2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2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2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2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2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2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2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2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2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2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2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2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2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2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2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2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2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2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2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2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2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2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2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2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2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2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2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2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2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2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2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2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2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2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2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2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2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2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2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2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2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2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2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2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2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2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2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2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2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2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2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2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2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2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2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2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2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2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2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2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2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2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2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2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2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2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2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2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2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2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2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2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2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2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2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2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2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2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2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2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2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2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2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2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2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2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2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2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2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2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2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2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2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2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2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2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2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2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2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2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2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2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2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2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2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2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2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2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2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2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2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2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2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2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2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2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2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2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2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2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2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2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2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2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2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2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2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2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2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2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2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2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2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2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:C1"/>
  </mergeCells>
  <drawing r:id="rId1"/>
</worksheet>
</file>